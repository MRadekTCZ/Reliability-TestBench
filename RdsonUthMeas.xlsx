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lmers-my.sharepoint.com/personal/brzycki_chalmers_se/Documents/Projects/ATC/ENHANCE preparation/Badania/BadaniaWlasciwe/Main/"/>
    </mc:Choice>
  </mc:AlternateContent>
  <xr:revisionPtr revIDLastSave="387" documentId="8_{3AE157D7-FD64-4663-A1B1-C0C68D5EE1D6}" xr6:coauthVersionLast="47" xr6:coauthVersionMax="47" xr10:uidLastSave="{4036BA1B-C423-4B8B-B490-C54E455E6761}"/>
  <bookViews>
    <workbookView xWindow="28680" yWindow="-120" windowWidth="38640" windowHeight="21120" xr2:uid="{513F36F6-60D4-4C4E-9E99-44240AEFD3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44" i="1" l="1"/>
  <c r="S43" i="1"/>
  <c r="N43" i="1"/>
  <c r="N44" i="1"/>
  <c r="N45" i="1"/>
  <c r="N46" i="1"/>
  <c r="N47" i="1"/>
  <c r="N48" i="1"/>
  <c r="M44" i="1"/>
  <c r="M45" i="1"/>
  <c r="M46" i="1"/>
  <c r="M47" i="1"/>
  <c r="M48" i="1"/>
  <c r="M43" i="1"/>
  <c r="K44" i="1"/>
  <c r="K45" i="1"/>
  <c r="K46" i="1"/>
  <c r="K47" i="1"/>
  <c r="K48" i="1"/>
  <c r="K43" i="1"/>
  <c r="J44" i="1"/>
  <c r="J45" i="1"/>
  <c r="S42" i="1" s="1"/>
  <c r="J46" i="1"/>
  <c r="J47" i="1"/>
  <c r="J48" i="1"/>
  <c r="J43" i="1"/>
  <c r="N3" i="1"/>
  <c r="N4" i="1"/>
  <c r="N5" i="1"/>
  <c r="N6" i="1"/>
  <c r="N7" i="1"/>
  <c r="N8" i="1"/>
  <c r="M4" i="1"/>
  <c r="M5" i="1"/>
  <c r="M6" i="1"/>
  <c r="M7" i="1"/>
  <c r="M8" i="1"/>
  <c r="M3" i="1"/>
  <c r="H15" i="1"/>
  <c r="I15" i="1"/>
  <c r="H16" i="1"/>
  <c r="I16" i="1"/>
  <c r="H17" i="1"/>
  <c r="I17" i="1"/>
  <c r="H18" i="1"/>
  <c r="I18" i="1"/>
  <c r="H19" i="1"/>
  <c r="I19" i="1"/>
  <c r="I14" i="1"/>
  <c r="H14" i="1"/>
  <c r="T44" i="1" l="1"/>
  <c r="T42" i="1"/>
  <c r="T43" i="1"/>
</calcChain>
</file>

<file path=xl/sharedStrings.xml><?xml version="1.0" encoding="utf-8"?>
<sst xmlns="http://schemas.openxmlformats.org/spreadsheetml/2006/main" count="150" uniqueCount="79">
  <si>
    <t>G1</t>
  </si>
  <si>
    <t>Tranzystor</t>
  </si>
  <si>
    <t>G3</t>
  </si>
  <si>
    <t>G5</t>
  </si>
  <si>
    <t>G2</t>
  </si>
  <si>
    <t>G4</t>
  </si>
  <si>
    <t>G6</t>
  </si>
  <si>
    <t>M1 (p1)</t>
  </si>
  <si>
    <r>
      <t>Rdson [m</t>
    </r>
    <r>
      <rPr>
        <sz val="11"/>
        <color theme="1"/>
        <rFont val="Aptos Narrow"/>
        <family val="2"/>
      </rPr>
      <t xml:space="preserve">Ω]                                             Rdson [mΩ]                                             Rdson [mΩ]                                             Rdson [mΩ]                                             Rdson [mΩ]                                             Rdson [mΩ]                                             Rdson [mΩ]                                             Rdson [mΩ]                                             </t>
    </r>
  </si>
  <si>
    <t>102.2</t>
  </si>
  <si>
    <t>101.2</t>
  </si>
  <si>
    <t>M2 (p1)</t>
  </si>
  <si>
    <t>M3 (p1)</t>
  </si>
  <si>
    <t>M1 (p2)</t>
  </si>
  <si>
    <t>M2 (p2)</t>
  </si>
  <si>
    <t>M3 (p2)</t>
  </si>
  <si>
    <t>107.3</t>
  </si>
  <si>
    <t>103.4</t>
  </si>
  <si>
    <t>103.2</t>
  </si>
  <si>
    <t>103.7</t>
  </si>
  <si>
    <t>103.3</t>
  </si>
  <si>
    <t>103.6</t>
  </si>
  <si>
    <t>10.1.0</t>
  </si>
  <si>
    <t>101.5</t>
  </si>
  <si>
    <t>101.3</t>
  </si>
  <si>
    <t>105.7</t>
  </si>
  <si>
    <t>109.1</t>
  </si>
  <si>
    <t>107.5</t>
  </si>
  <si>
    <t>107.2</t>
  </si>
  <si>
    <t>108.3</t>
  </si>
  <si>
    <t>100.5</t>
  </si>
  <si>
    <t>100.7</t>
  </si>
  <si>
    <t>101.4</t>
  </si>
  <si>
    <t>101.9</t>
  </si>
  <si>
    <t>101.6</t>
  </si>
  <si>
    <t>100.0</t>
  </si>
  <si>
    <t>99.7</t>
  </si>
  <si>
    <t>99.4</t>
  </si>
  <si>
    <t>99.9</t>
  </si>
  <si>
    <t>101.8</t>
  </si>
  <si>
    <t>102.8</t>
  </si>
  <si>
    <t>103.5</t>
  </si>
  <si>
    <t>102.4</t>
  </si>
  <si>
    <t>104.3</t>
  </si>
  <si>
    <t>104.9</t>
  </si>
  <si>
    <t>106.8</t>
  </si>
  <si>
    <t>105.8</t>
  </si>
  <si>
    <t>111.4</t>
  </si>
  <si>
    <t>113.5</t>
  </si>
  <si>
    <t>120.6</t>
  </si>
  <si>
    <t>119.6</t>
  </si>
  <si>
    <t>M2 (p3+pcb)</t>
  </si>
  <si>
    <t>M1 (p3+pcb)</t>
  </si>
  <si>
    <t>131.7</t>
  </si>
  <si>
    <t>128.0</t>
  </si>
  <si>
    <t>130.5</t>
  </si>
  <si>
    <t xml:space="preserve">PCB [mΩ] </t>
  </si>
  <si>
    <t>M1</t>
  </si>
  <si>
    <t>M2</t>
  </si>
  <si>
    <t>M1 (pre switch)</t>
  </si>
  <si>
    <t>Current module</t>
  </si>
  <si>
    <t>Uth [V] / numer cyklu</t>
  </si>
  <si>
    <t>50 prestress</t>
  </si>
  <si>
    <t>5.32???</t>
  </si>
  <si>
    <t>BADANIE 2</t>
  </si>
  <si>
    <r>
      <t>Rdson [m</t>
    </r>
    <r>
      <rPr>
        <sz val="11"/>
        <color theme="1"/>
        <rFont val="Aptos Narrow"/>
        <family val="2"/>
      </rPr>
      <t>Ω]</t>
    </r>
  </si>
  <si>
    <t>Post test</t>
  </si>
  <si>
    <t>M1 post test</t>
  </si>
  <si>
    <t>M2 post test</t>
  </si>
  <si>
    <t>M4 (c - noATC)</t>
  </si>
  <si>
    <t>delta post stress</t>
  </si>
  <si>
    <t>Degradated</t>
  </si>
  <si>
    <t>after stress</t>
  </si>
  <si>
    <t>M2 (pre switch)</t>
  </si>
  <si>
    <t>min</t>
  </si>
  <si>
    <t>max</t>
  </si>
  <si>
    <t>avg</t>
  </si>
  <si>
    <t>Delta [mohm]</t>
  </si>
  <si>
    <t>Delta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</si>
</sst>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/>
    <xf numFmtId="0" fontId="0" fillId="3" borderId="0" xfId="0" applyFill="1" applyAlignment="1">
      <alignment wrapText="1"/>
    </xf>
    <xf numFmtId="0" fontId="0" fillId="3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69C0E-7945-4CE3-A17C-5ED7948C66CE}">
  <dimension ref="A1:W58"/>
  <sheetViews>
    <sheetView tabSelected="1" topLeftCell="A21" workbookViewId="0">
      <selection activeCell="D46" sqref="D46"/>
    </sheetView>
  </sheetViews>
  <sheetFormatPr defaultRowHeight="14.4" x14ac:dyDescent="0.3"/>
  <cols>
    <col min="2" max="2" width="7.21875" customWidth="1"/>
    <col min="10" max="10" width="10.88671875" customWidth="1"/>
  </cols>
  <sheetData>
    <row r="1" spans="1:23" x14ac:dyDescent="0.3">
      <c r="B1" s="5" t="s">
        <v>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x14ac:dyDescent="0.3">
      <c r="A2" t="s">
        <v>1</v>
      </c>
      <c r="B2" t="s">
        <v>7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2" t="s">
        <v>52</v>
      </c>
      <c r="I2" s="2" t="s">
        <v>51</v>
      </c>
      <c r="J2" t="s">
        <v>67</v>
      </c>
      <c r="K2" t="s">
        <v>68</v>
      </c>
      <c r="M2" t="s">
        <v>70</v>
      </c>
    </row>
    <row r="3" spans="1:23" x14ac:dyDescent="0.3">
      <c r="A3" t="s">
        <v>0</v>
      </c>
      <c r="B3" t="s">
        <v>9</v>
      </c>
      <c r="C3" t="s">
        <v>10</v>
      </c>
      <c r="D3" t="s">
        <v>16</v>
      </c>
      <c r="E3" t="s">
        <v>30</v>
      </c>
      <c r="F3" t="s">
        <v>35</v>
      </c>
      <c r="G3" t="s">
        <v>39</v>
      </c>
      <c r="H3" s="2" t="s">
        <v>43</v>
      </c>
      <c r="I3" s="2" t="s">
        <v>49</v>
      </c>
      <c r="J3">
        <v>103.2</v>
      </c>
      <c r="K3">
        <v>102.4</v>
      </c>
      <c r="M3">
        <f>J3-E3</f>
        <v>2.7000000000000028</v>
      </c>
      <c r="N3">
        <f>K3-F3</f>
        <v>2.4000000000000057</v>
      </c>
    </row>
    <row r="4" spans="1:23" x14ac:dyDescent="0.3">
      <c r="A4" t="s">
        <v>2</v>
      </c>
      <c r="B4" t="s">
        <v>17</v>
      </c>
      <c r="C4" t="s">
        <v>22</v>
      </c>
      <c r="D4" t="s">
        <v>26</v>
      </c>
      <c r="E4" t="s">
        <v>31</v>
      </c>
      <c r="F4" t="s">
        <v>36</v>
      </c>
      <c r="G4" t="s">
        <v>41</v>
      </c>
      <c r="H4" s="2" t="s">
        <v>44</v>
      </c>
      <c r="I4" s="2" t="s">
        <v>50</v>
      </c>
      <c r="J4">
        <v>104</v>
      </c>
      <c r="K4">
        <v>102.8</v>
      </c>
      <c r="M4">
        <f t="shared" ref="M4:N8" si="0">J4-E4</f>
        <v>3.2999999999999972</v>
      </c>
      <c r="N4">
        <f t="shared" si="0"/>
        <v>3.0999999999999943</v>
      </c>
    </row>
    <row r="5" spans="1:23" x14ac:dyDescent="0.3">
      <c r="A5" t="s">
        <v>3</v>
      </c>
      <c r="B5" t="s">
        <v>18</v>
      </c>
      <c r="C5" t="s">
        <v>23</v>
      </c>
      <c r="D5" t="s">
        <v>27</v>
      </c>
      <c r="E5" t="s">
        <v>33</v>
      </c>
      <c r="F5" t="s">
        <v>37</v>
      </c>
      <c r="G5" t="s">
        <v>42</v>
      </c>
      <c r="H5" s="2" t="s">
        <v>45</v>
      </c>
      <c r="I5" s="2" t="s">
        <v>50</v>
      </c>
      <c r="J5">
        <v>103.9</v>
      </c>
      <c r="K5">
        <v>102.1</v>
      </c>
      <c r="M5">
        <f t="shared" si="0"/>
        <v>2</v>
      </c>
      <c r="N5">
        <f t="shared" si="0"/>
        <v>2.6999999999999886</v>
      </c>
    </row>
    <row r="6" spans="1:23" x14ac:dyDescent="0.3">
      <c r="A6" t="s">
        <v>4</v>
      </c>
      <c r="B6" t="s">
        <v>19</v>
      </c>
      <c r="C6" t="s">
        <v>24</v>
      </c>
      <c r="D6" t="s">
        <v>29</v>
      </c>
      <c r="E6" t="s">
        <v>32</v>
      </c>
      <c r="F6" t="s">
        <v>37</v>
      </c>
      <c r="G6" t="s">
        <v>40</v>
      </c>
      <c r="H6" s="2" t="s">
        <v>46</v>
      </c>
      <c r="I6" s="2" t="s">
        <v>53</v>
      </c>
      <c r="J6">
        <v>103.9</v>
      </c>
      <c r="K6">
        <v>102.5</v>
      </c>
      <c r="M6">
        <f t="shared" si="0"/>
        <v>2.5</v>
      </c>
      <c r="N6">
        <f t="shared" si="0"/>
        <v>3.0999999999999943</v>
      </c>
    </row>
    <row r="7" spans="1:23" x14ac:dyDescent="0.3">
      <c r="A7" t="s">
        <v>5</v>
      </c>
      <c r="B7" t="s">
        <v>20</v>
      </c>
      <c r="C7" t="s">
        <v>9</v>
      </c>
      <c r="D7" t="s">
        <v>28</v>
      </c>
      <c r="E7" t="s">
        <v>24</v>
      </c>
      <c r="F7" t="s">
        <v>38</v>
      </c>
      <c r="G7" t="s">
        <v>10</v>
      </c>
      <c r="H7" s="2" t="s">
        <v>47</v>
      </c>
      <c r="I7" s="2" t="s">
        <v>54</v>
      </c>
      <c r="J7">
        <v>103.7</v>
      </c>
      <c r="K7" s="4">
        <v>102.3</v>
      </c>
      <c r="M7">
        <f t="shared" si="0"/>
        <v>2.4000000000000057</v>
      </c>
      <c r="N7">
        <f t="shared" si="0"/>
        <v>2.3999999999999915</v>
      </c>
    </row>
    <row r="8" spans="1:23" x14ac:dyDescent="0.3">
      <c r="A8" t="s">
        <v>6</v>
      </c>
      <c r="B8" t="s">
        <v>21</v>
      </c>
      <c r="C8" t="s">
        <v>21</v>
      </c>
      <c r="D8" t="s">
        <v>25</v>
      </c>
      <c r="E8" t="s">
        <v>34</v>
      </c>
      <c r="F8" t="s">
        <v>32</v>
      </c>
      <c r="G8" t="s">
        <v>36</v>
      </c>
      <c r="H8" s="2" t="s">
        <v>48</v>
      </c>
      <c r="I8" s="2" t="s">
        <v>55</v>
      </c>
      <c r="J8">
        <v>103.4</v>
      </c>
      <c r="K8">
        <v>102.8</v>
      </c>
      <c r="M8">
        <f t="shared" si="0"/>
        <v>1.8000000000000114</v>
      </c>
      <c r="N8">
        <f t="shared" si="0"/>
        <v>1.3999999999999915</v>
      </c>
    </row>
    <row r="12" spans="1:23" ht="28.8" x14ac:dyDescent="0.3">
      <c r="C12" s="3" t="s">
        <v>60</v>
      </c>
      <c r="H12" s="5" t="s">
        <v>56</v>
      </c>
      <c r="I12" s="5"/>
    </row>
    <row r="13" spans="1:23" x14ac:dyDescent="0.3">
      <c r="G13" t="s">
        <v>1</v>
      </c>
      <c r="H13" t="s">
        <v>57</v>
      </c>
      <c r="I13" t="s">
        <v>58</v>
      </c>
    </row>
    <row r="14" spans="1:23" x14ac:dyDescent="0.3">
      <c r="G14" t="s">
        <v>0</v>
      </c>
      <c r="H14">
        <f>H3-E3</f>
        <v>3.7999999999999972</v>
      </c>
      <c r="I14">
        <f>I3-F3</f>
        <v>20.599999999999994</v>
      </c>
    </row>
    <row r="15" spans="1:23" x14ac:dyDescent="0.3">
      <c r="G15" t="s">
        <v>2</v>
      </c>
      <c r="H15">
        <f t="shared" ref="H15:I15" si="1">H4-E4</f>
        <v>4.2000000000000028</v>
      </c>
      <c r="I15">
        <f t="shared" si="1"/>
        <v>19.899999999999991</v>
      </c>
    </row>
    <row r="16" spans="1:23" x14ac:dyDescent="0.3">
      <c r="G16" t="s">
        <v>3</v>
      </c>
      <c r="H16">
        <f t="shared" ref="H16:I16" si="2">H5-E5</f>
        <v>4.8999999999999915</v>
      </c>
      <c r="I16">
        <f t="shared" si="2"/>
        <v>20.199999999999989</v>
      </c>
    </row>
    <row r="17" spans="1:14" x14ac:dyDescent="0.3">
      <c r="G17" t="s">
        <v>4</v>
      </c>
      <c r="H17">
        <f t="shared" ref="H17:I17" si="3">H6-E6</f>
        <v>4.3999999999999915</v>
      </c>
      <c r="I17">
        <f t="shared" si="3"/>
        <v>32.299999999999983</v>
      </c>
    </row>
    <row r="18" spans="1:14" x14ac:dyDescent="0.3">
      <c r="G18" t="s">
        <v>5</v>
      </c>
      <c r="H18">
        <f t="shared" ref="H18:I18" si="4">H7-E7</f>
        <v>10.100000000000009</v>
      </c>
      <c r="I18">
        <f t="shared" si="4"/>
        <v>28.099999999999994</v>
      </c>
    </row>
    <row r="19" spans="1:14" x14ac:dyDescent="0.3">
      <c r="G19" t="s">
        <v>6</v>
      </c>
      <c r="H19">
        <f t="shared" ref="H19:I19" si="5">H8-E8</f>
        <v>11.900000000000006</v>
      </c>
      <c r="I19">
        <f t="shared" si="5"/>
        <v>29.099999999999994</v>
      </c>
    </row>
    <row r="21" spans="1:14" x14ac:dyDescent="0.3">
      <c r="A21" s="5" t="s">
        <v>61</v>
      </c>
      <c r="B21" s="5"/>
      <c r="C21" s="5"/>
      <c r="D21">
        <v>0</v>
      </c>
      <c r="E21" s="6">
        <v>0</v>
      </c>
      <c r="F21" s="6"/>
      <c r="G21" s="5">
        <v>50</v>
      </c>
      <c r="H21" s="5"/>
      <c r="I21" s="5">
        <v>60</v>
      </c>
      <c r="J21" s="5"/>
      <c r="K21">
        <v>70</v>
      </c>
      <c r="M21" s="5" t="s">
        <v>66</v>
      </c>
      <c r="N21" s="5"/>
    </row>
    <row r="22" spans="1:14" ht="28.8" x14ac:dyDescent="0.3">
      <c r="A22" t="s">
        <v>1</v>
      </c>
      <c r="B22" s="1" t="s">
        <v>59</v>
      </c>
      <c r="C22" t="s">
        <v>57</v>
      </c>
      <c r="D22" t="s">
        <v>58</v>
      </c>
      <c r="E22" s="2" t="s">
        <v>57</v>
      </c>
      <c r="F22" s="2" t="s">
        <v>58</v>
      </c>
      <c r="G22" t="s">
        <v>57</v>
      </c>
      <c r="H22" t="s">
        <v>58</v>
      </c>
      <c r="I22" t="s">
        <v>57</v>
      </c>
      <c r="J22" t="s">
        <v>58</v>
      </c>
      <c r="K22" t="s">
        <v>57</v>
      </c>
      <c r="L22" t="s">
        <v>58</v>
      </c>
    </row>
    <row r="23" spans="1:14" x14ac:dyDescent="0.3">
      <c r="A23" t="s">
        <v>0</v>
      </c>
      <c r="B23">
        <v>2.79</v>
      </c>
      <c r="C23">
        <v>3.35</v>
      </c>
      <c r="D23">
        <v>3.2090000000000001</v>
      </c>
      <c r="E23" s="2">
        <v>3.3220000000000001</v>
      </c>
      <c r="F23" s="2">
        <v>3.2090000000000001</v>
      </c>
      <c r="G23">
        <v>3.35</v>
      </c>
      <c r="H23">
        <v>3.49</v>
      </c>
      <c r="I23">
        <v>3.26</v>
      </c>
      <c r="J23">
        <v>3.57</v>
      </c>
      <c r="K23">
        <v>3.35</v>
      </c>
      <c r="L23">
        <v>2.89</v>
      </c>
    </row>
    <row r="24" spans="1:14" x14ac:dyDescent="0.3">
      <c r="A24" t="s">
        <v>2</v>
      </c>
      <c r="B24">
        <v>2.81</v>
      </c>
      <c r="C24">
        <v>3.35</v>
      </c>
      <c r="D24">
        <v>3.2090000000000001</v>
      </c>
      <c r="E24" s="2">
        <v>3.2650000000000001</v>
      </c>
      <c r="F24" s="2">
        <v>3.3319999999999999</v>
      </c>
      <c r="G24">
        <v>3.32</v>
      </c>
      <c r="H24" t="s">
        <v>63</v>
      </c>
      <c r="I24">
        <v>3.22</v>
      </c>
      <c r="J24">
        <v>3.74</v>
      </c>
      <c r="K24">
        <v>3.32</v>
      </c>
      <c r="L24">
        <v>3.2650000000000001</v>
      </c>
    </row>
    <row r="25" spans="1:14" x14ac:dyDescent="0.3">
      <c r="A25" t="s">
        <v>3</v>
      </c>
      <c r="B25">
        <v>2.84</v>
      </c>
      <c r="C25">
        <v>3.32</v>
      </c>
      <c r="D25">
        <v>3.181</v>
      </c>
      <c r="E25" s="2">
        <v>3.294</v>
      </c>
      <c r="F25" s="2">
        <v>3.35</v>
      </c>
      <c r="G25">
        <v>3.32</v>
      </c>
      <c r="H25">
        <v>3.49</v>
      </c>
      <c r="I25">
        <v>3.27</v>
      </c>
      <c r="J25">
        <v>3.04</v>
      </c>
      <c r="K25">
        <v>3.35</v>
      </c>
      <c r="L25">
        <v>3.24</v>
      </c>
    </row>
    <row r="26" spans="1:14" x14ac:dyDescent="0.3">
      <c r="A26" t="s">
        <v>4</v>
      </c>
      <c r="B26">
        <v>2.87</v>
      </c>
      <c r="C26">
        <v>3.37</v>
      </c>
      <c r="D26">
        <v>3.2650000000000001</v>
      </c>
      <c r="E26" s="2">
        <v>3.3319999999999999</v>
      </c>
      <c r="F26" s="2">
        <v>3.35</v>
      </c>
    </row>
    <row r="27" spans="1:14" x14ac:dyDescent="0.3">
      <c r="A27" t="s">
        <v>5</v>
      </c>
      <c r="B27">
        <v>2.78</v>
      </c>
      <c r="C27">
        <v>3.4</v>
      </c>
      <c r="D27">
        <v>3.294</v>
      </c>
      <c r="E27" s="2">
        <v>3.35</v>
      </c>
      <c r="F27" s="2">
        <v>3.294</v>
      </c>
      <c r="L27">
        <v>2.78</v>
      </c>
    </row>
    <row r="28" spans="1:14" x14ac:dyDescent="0.3">
      <c r="A28" t="s">
        <v>6</v>
      </c>
      <c r="C28">
        <v>3.4</v>
      </c>
      <c r="D28">
        <v>3.2370000000000001</v>
      </c>
      <c r="E28" s="2">
        <v>3.3220000000000001</v>
      </c>
      <c r="F28" s="2">
        <v>3.294</v>
      </c>
    </row>
    <row r="31" spans="1:14" x14ac:dyDescent="0.3">
      <c r="G31" s="5" t="s">
        <v>62</v>
      </c>
      <c r="H31" s="5"/>
    </row>
    <row r="32" spans="1:14" x14ac:dyDescent="0.3">
      <c r="G32" t="s">
        <v>57</v>
      </c>
      <c r="H32" t="s">
        <v>58</v>
      </c>
    </row>
    <row r="33" spans="1:20" x14ac:dyDescent="0.3">
      <c r="F33" t="s">
        <v>0</v>
      </c>
      <c r="G33">
        <v>2.8719999999999999</v>
      </c>
      <c r="H33">
        <v>2.8719999999999999</v>
      </c>
    </row>
    <row r="34" spans="1:20" x14ac:dyDescent="0.3">
      <c r="F34" t="s">
        <v>2</v>
      </c>
      <c r="G34">
        <v>2.8719999999999999</v>
      </c>
      <c r="H34">
        <v>2.8719999999999999</v>
      </c>
    </row>
    <row r="35" spans="1:20" x14ac:dyDescent="0.3">
      <c r="F35" t="s">
        <v>3</v>
      </c>
      <c r="G35">
        <v>2.8719999999999999</v>
      </c>
      <c r="H35">
        <v>2.8719999999999999</v>
      </c>
    </row>
    <row r="39" spans="1:20" x14ac:dyDescent="0.3">
      <c r="A39" s="5" t="s">
        <v>64</v>
      </c>
      <c r="B39" s="5"/>
      <c r="C39" s="5"/>
      <c r="D39" s="5"/>
      <c r="E39" s="5"/>
      <c r="F39" s="5"/>
      <c r="G39" s="5"/>
      <c r="H39" s="5"/>
      <c r="I39" s="5"/>
      <c r="J39" s="5"/>
      <c r="K39" s="5"/>
    </row>
    <row r="41" spans="1:20" x14ac:dyDescent="0.3">
      <c r="B41" s="5" t="s">
        <v>65</v>
      </c>
      <c r="C41" s="5"/>
      <c r="F41" s="5" t="s">
        <v>65</v>
      </c>
      <c r="G41" s="5"/>
      <c r="H41" t="s">
        <v>72</v>
      </c>
      <c r="J41" t="s">
        <v>77</v>
      </c>
      <c r="M41" t="s">
        <v>78</v>
      </c>
      <c r="S41" t="s">
        <v>12</v>
      </c>
      <c r="T41" t="s">
        <v>69</v>
      </c>
    </row>
    <row r="42" spans="1:20" x14ac:dyDescent="0.3">
      <c r="A42" t="s">
        <v>1</v>
      </c>
      <c r="B42" t="s">
        <v>12</v>
      </c>
      <c r="C42" t="s">
        <v>69</v>
      </c>
      <c r="F42" t="s">
        <v>12</v>
      </c>
      <c r="G42" t="s">
        <v>69</v>
      </c>
      <c r="J42" t="s">
        <v>12</v>
      </c>
      <c r="K42" t="s">
        <v>69</v>
      </c>
      <c r="M42" t="s">
        <v>12</v>
      </c>
      <c r="N42" t="s">
        <v>69</v>
      </c>
      <c r="R42" t="s">
        <v>74</v>
      </c>
      <c r="S42">
        <f>MIN(J43:J48)</f>
        <v>-0.20000000000000284</v>
      </c>
      <c r="T42">
        <f>MIN(K43:K48)</f>
        <v>0.59999999999999432</v>
      </c>
    </row>
    <row r="43" spans="1:20" x14ac:dyDescent="0.3">
      <c r="A43" t="s">
        <v>0</v>
      </c>
      <c r="B43">
        <v>103.8</v>
      </c>
      <c r="C43">
        <v>103.3</v>
      </c>
      <c r="F43">
        <v>103.9</v>
      </c>
      <c r="G43">
        <v>104.3</v>
      </c>
      <c r="J43">
        <f>F43-B43</f>
        <v>0.10000000000000853</v>
      </c>
      <c r="K43">
        <f>G43-C43</f>
        <v>1</v>
      </c>
      <c r="M43" s="10">
        <f>(F43-B43)/B43*100</f>
        <v>9.6339113680162361E-2</v>
      </c>
      <c r="N43" s="10">
        <f>(G43-C43)/C43*100</f>
        <v>0.9680542110358179</v>
      </c>
      <c r="R43" t="s">
        <v>75</v>
      </c>
      <c r="S43">
        <f>MAX(J43:J48)</f>
        <v>1.2000000000000028</v>
      </c>
      <c r="T43">
        <f>MAX(K43:K48)</f>
        <v>4.9000000000000057</v>
      </c>
    </row>
    <row r="44" spans="1:20" x14ac:dyDescent="0.3">
      <c r="A44" t="s">
        <v>2</v>
      </c>
      <c r="B44">
        <v>104</v>
      </c>
      <c r="C44">
        <v>105.3</v>
      </c>
      <c r="F44">
        <v>104.8</v>
      </c>
      <c r="G44">
        <v>110.2</v>
      </c>
      <c r="J44">
        <f t="shared" ref="J44:J48" si="6">F44-B44</f>
        <v>0.79999999999999716</v>
      </c>
      <c r="K44">
        <f t="shared" ref="K44:K48" si="7">G44-C44</f>
        <v>4.9000000000000057</v>
      </c>
      <c r="M44" s="10">
        <f t="shared" ref="M44:N48" si="8">(F44-B44)/B44*100</f>
        <v>0.7692307692307665</v>
      </c>
      <c r="N44" s="10">
        <f t="shared" si="8"/>
        <v>4.6533713200379925</v>
      </c>
      <c r="R44" t="s">
        <v>76</v>
      </c>
      <c r="S44">
        <f>SUM(J43:J48)/6</f>
        <v>0.48333333333333428</v>
      </c>
      <c r="T44">
        <f>SUM(K43:K48)/6</f>
        <v>1.5499999999999996</v>
      </c>
    </row>
    <row r="45" spans="1:20" x14ac:dyDescent="0.3">
      <c r="A45" t="s">
        <v>3</v>
      </c>
      <c r="B45">
        <v>103.8</v>
      </c>
      <c r="C45">
        <v>104.3</v>
      </c>
      <c r="F45">
        <v>104.3</v>
      </c>
      <c r="G45">
        <v>104.9</v>
      </c>
      <c r="J45">
        <f t="shared" si="6"/>
        <v>0.5</v>
      </c>
      <c r="K45">
        <f t="shared" si="7"/>
        <v>0.60000000000000853</v>
      </c>
      <c r="M45" s="10">
        <f t="shared" si="8"/>
        <v>0.48169556840077077</v>
      </c>
      <c r="N45" s="10">
        <f t="shared" si="8"/>
        <v>0.57526366251199279</v>
      </c>
    </row>
    <row r="46" spans="1:20" x14ac:dyDescent="0.3">
      <c r="A46" t="s">
        <v>4</v>
      </c>
      <c r="B46">
        <v>104</v>
      </c>
      <c r="C46">
        <v>104.2</v>
      </c>
      <c r="F46">
        <v>103.8</v>
      </c>
      <c r="G46">
        <v>105.3</v>
      </c>
      <c r="J46">
        <f t="shared" si="6"/>
        <v>-0.20000000000000284</v>
      </c>
      <c r="K46">
        <f t="shared" si="7"/>
        <v>1.0999999999999943</v>
      </c>
      <c r="M46" s="10">
        <f t="shared" si="8"/>
        <v>-0.19230769230769504</v>
      </c>
      <c r="N46" s="10">
        <f t="shared" si="8"/>
        <v>1.0556621880998025</v>
      </c>
    </row>
    <row r="47" spans="1:20" x14ac:dyDescent="0.3">
      <c r="A47" t="s">
        <v>5</v>
      </c>
      <c r="B47">
        <v>104.1</v>
      </c>
      <c r="C47">
        <v>103.2</v>
      </c>
      <c r="F47">
        <v>104.6</v>
      </c>
      <c r="G47">
        <v>104.3</v>
      </c>
      <c r="J47">
        <f t="shared" si="6"/>
        <v>0.5</v>
      </c>
      <c r="K47">
        <f t="shared" si="7"/>
        <v>1.0999999999999943</v>
      </c>
      <c r="M47" s="10">
        <f t="shared" si="8"/>
        <v>0.48030739673390976</v>
      </c>
      <c r="N47" s="10">
        <f t="shared" si="8"/>
        <v>1.0658914728682114</v>
      </c>
    </row>
    <row r="48" spans="1:20" x14ac:dyDescent="0.3">
      <c r="A48" t="s">
        <v>6</v>
      </c>
      <c r="B48">
        <v>103.5</v>
      </c>
      <c r="C48">
        <v>101.5</v>
      </c>
      <c r="F48">
        <v>104.7</v>
      </c>
      <c r="G48">
        <v>102.1</v>
      </c>
      <c r="J48">
        <f t="shared" si="6"/>
        <v>1.2000000000000028</v>
      </c>
      <c r="K48">
        <f t="shared" si="7"/>
        <v>0.59999999999999432</v>
      </c>
      <c r="M48" s="10">
        <f t="shared" si="8"/>
        <v>1.1594202898550752</v>
      </c>
      <c r="N48" s="10">
        <f t="shared" si="8"/>
        <v>0.59113300492610277</v>
      </c>
    </row>
    <row r="51" spans="1:11" x14ac:dyDescent="0.3">
      <c r="A51" s="5" t="s">
        <v>61</v>
      </c>
      <c r="B51" s="5"/>
      <c r="C51" s="5"/>
      <c r="D51">
        <v>0</v>
      </c>
      <c r="G51" s="7">
        <v>140</v>
      </c>
      <c r="H51" s="7"/>
      <c r="I51" s="7">
        <v>245</v>
      </c>
      <c r="J51" t="s">
        <v>71</v>
      </c>
    </row>
    <row r="52" spans="1:11" ht="28.8" x14ac:dyDescent="0.3">
      <c r="A52" t="s">
        <v>1</v>
      </c>
      <c r="B52" s="1" t="s">
        <v>59</v>
      </c>
      <c r="C52" s="8" t="s">
        <v>73</v>
      </c>
      <c r="D52" t="s">
        <v>57</v>
      </c>
      <c r="E52" t="s">
        <v>58</v>
      </c>
      <c r="F52" t="s">
        <v>57</v>
      </c>
      <c r="G52" t="s">
        <v>58</v>
      </c>
      <c r="H52" t="s">
        <v>57</v>
      </c>
      <c r="I52" t="s">
        <v>58</v>
      </c>
      <c r="J52" t="s">
        <v>57</v>
      </c>
      <c r="K52" t="s">
        <v>58</v>
      </c>
    </row>
    <row r="53" spans="1:11" x14ac:dyDescent="0.3">
      <c r="A53" t="s">
        <v>0</v>
      </c>
      <c r="B53">
        <v>2.87</v>
      </c>
      <c r="C53" s="9">
        <v>2.95</v>
      </c>
      <c r="D53">
        <v>3.0960000000000001</v>
      </c>
      <c r="E53">
        <v>3.2650000000000001</v>
      </c>
      <c r="F53">
        <v>3.0960000000000001</v>
      </c>
      <c r="G53">
        <v>3.32</v>
      </c>
      <c r="H53">
        <v>3.29</v>
      </c>
      <c r="I53">
        <v>3.32</v>
      </c>
      <c r="J53">
        <v>3.29</v>
      </c>
      <c r="K53">
        <v>3.43</v>
      </c>
    </row>
    <row r="54" spans="1:11" x14ac:dyDescent="0.3">
      <c r="A54" t="s">
        <v>2</v>
      </c>
      <c r="B54">
        <v>2.84</v>
      </c>
      <c r="C54" s="9">
        <v>2.97</v>
      </c>
      <c r="D54">
        <v>3.04</v>
      </c>
      <c r="E54">
        <v>3.35</v>
      </c>
      <c r="F54">
        <v>3.04</v>
      </c>
      <c r="G54">
        <v>3.4</v>
      </c>
      <c r="H54">
        <v>3.26</v>
      </c>
      <c r="I54">
        <v>3.32</v>
      </c>
      <c r="J54">
        <v>3.29</v>
      </c>
      <c r="K54">
        <v>3.43</v>
      </c>
    </row>
    <row r="55" spans="1:11" x14ac:dyDescent="0.3">
      <c r="A55" t="s">
        <v>3</v>
      </c>
      <c r="B55">
        <v>2.84</v>
      </c>
      <c r="C55" s="9">
        <v>2.83</v>
      </c>
      <c r="D55">
        <v>3.23</v>
      </c>
      <c r="E55">
        <v>3.2650000000000001</v>
      </c>
      <c r="F55">
        <v>3.26</v>
      </c>
      <c r="G55">
        <v>3.32</v>
      </c>
      <c r="H55">
        <v>3.35</v>
      </c>
      <c r="I55">
        <v>3.32</v>
      </c>
      <c r="J55">
        <v>3.35</v>
      </c>
      <c r="K55">
        <v>3.35</v>
      </c>
    </row>
    <row r="56" spans="1:11" x14ac:dyDescent="0.3">
      <c r="A56" t="s">
        <v>4</v>
      </c>
      <c r="B56">
        <v>2.87</v>
      </c>
      <c r="C56" s="9">
        <v>2.82</v>
      </c>
      <c r="J56">
        <v>3.37</v>
      </c>
      <c r="K56">
        <v>3.37</v>
      </c>
    </row>
    <row r="57" spans="1:11" x14ac:dyDescent="0.3">
      <c r="A57" t="s">
        <v>5</v>
      </c>
      <c r="B57">
        <v>2.78</v>
      </c>
      <c r="C57" s="9">
        <v>2.97</v>
      </c>
      <c r="J57">
        <v>3.4</v>
      </c>
      <c r="K57">
        <v>3.41</v>
      </c>
    </row>
    <row r="58" spans="1:11" x14ac:dyDescent="0.3">
      <c r="A58" t="s">
        <v>6</v>
      </c>
      <c r="B58">
        <v>2.78</v>
      </c>
      <c r="C58" s="9">
        <v>3.01</v>
      </c>
      <c r="J58">
        <v>3.37</v>
      </c>
      <c r="K58">
        <v>3.46</v>
      </c>
    </row>
  </sheetData>
  <mergeCells count="12">
    <mergeCell ref="B41:C41"/>
    <mergeCell ref="M21:N21"/>
    <mergeCell ref="A51:C51"/>
    <mergeCell ref="A39:K39"/>
    <mergeCell ref="G31:H31"/>
    <mergeCell ref="F41:G41"/>
    <mergeCell ref="B1:W1"/>
    <mergeCell ref="H12:I12"/>
    <mergeCell ref="A21:C21"/>
    <mergeCell ref="E21:F21"/>
    <mergeCell ref="G21:H21"/>
    <mergeCell ref="I21:J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Radoslaw Brzycki</dc:creator>
  <cp:lastModifiedBy>Maciej Radoslaw Brzycki</cp:lastModifiedBy>
  <dcterms:created xsi:type="dcterms:W3CDTF">2026-07-09T11:12:58Z</dcterms:created>
  <dcterms:modified xsi:type="dcterms:W3CDTF">2026-08-18T09:55:19Z</dcterms:modified>
</cp:coreProperties>
</file>